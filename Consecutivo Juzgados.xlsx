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lguid\.gemini\antigravity\scratch\sgc_envigado\"/>
    </mc:Choice>
  </mc:AlternateContent>
  <xr:revisionPtr revIDLastSave="0" documentId="8_{58A59945-99C3-4935-A516-CDD72BB3566D}" xr6:coauthVersionLast="47" xr6:coauthVersionMax="47" xr10:uidLastSave="{00000000-0000-0000-0000-000000000000}"/>
  <bookViews>
    <workbookView xWindow="-120" yWindow="-120" windowWidth="29040" windowHeight="15720" xr2:uid="{764E9934-8837-476B-89F1-0EF84D063844}"/>
  </bookViews>
  <sheets>
    <sheet name="Usuarios Juzgados" sheetId="1" r:id="rId1"/>
    <sheet name="Hoja1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F2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F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</calcChain>
</file>

<file path=xl/sharedStrings.xml><?xml version="1.0" encoding="utf-8"?>
<sst xmlns="http://schemas.openxmlformats.org/spreadsheetml/2006/main" count="166" uniqueCount="125">
  <si>
    <t>Juz02cmpl</t>
  </si>
  <si>
    <t>Juzgado Segundo Civil Muncipal de Envigado</t>
  </si>
  <si>
    <t>Juz03cmpl</t>
  </si>
  <si>
    <t>Juzgado Tercero Civil Muncipal de Envigado</t>
  </si>
  <si>
    <t>052664003002</t>
  </si>
  <si>
    <t>052664003003</t>
  </si>
  <si>
    <t>Juz04cmpl</t>
  </si>
  <si>
    <t>Juzgado cuarto Civil Muncipal de Envigado</t>
  </si>
  <si>
    <t>052664003004</t>
  </si>
  <si>
    <t>USUARIO</t>
  </si>
  <si>
    <t>NOMBRE JUZGADO</t>
  </si>
  <si>
    <t xml:space="preserve">CONSECUTIVO RADICADO </t>
  </si>
  <si>
    <t>Juz01ccto</t>
  </si>
  <si>
    <t xml:space="preserve">Juzgado Primero Civil Circuito de Envigado </t>
  </si>
  <si>
    <t>052663103001</t>
  </si>
  <si>
    <t>Juz02ccto</t>
  </si>
  <si>
    <t>Juz03ccto</t>
  </si>
  <si>
    <t xml:space="preserve">Juzgado Segundo Civil Circuito de Envigado </t>
  </si>
  <si>
    <t xml:space="preserve">Juzgado Tercero Civil Circuito de Envigado </t>
  </si>
  <si>
    <t>Juz01pmpal</t>
  </si>
  <si>
    <t>Juzgado Primero Penal Mixto de Envigado</t>
  </si>
  <si>
    <t>052664046001</t>
  </si>
  <si>
    <t>052663103002</t>
  </si>
  <si>
    <t>052663103003</t>
  </si>
  <si>
    <t>Juzgado Segundo Penal Mixto de Envigado</t>
  </si>
  <si>
    <t>052664046002</t>
  </si>
  <si>
    <t>052664009001</t>
  </si>
  <si>
    <t>Juz01pcto</t>
  </si>
  <si>
    <t>Juzgado Primero Penal Circuito de Envigado</t>
  </si>
  <si>
    <t>052663109001</t>
  </si>
  <si>
    <t>Juz02pcto</t>
  </si>
  <si>
    <t>Juz03pcto</t>
  </si>
  <si>
    <t>Juzgado Segundo Penal Circuito de Envigado</t>
  </si>
  <si>
    <t>Juzgado Tercero Penal Circuito de Envigado</t>
  </si>
  <si>
    <t>052663109002</t>
  </si>
  <si>
    <t>052663109003</t>
  </si>
  <si>
    <t>Juzfam01</t>
  </si>
  <si>
    <t>Juzgado Primero de Familia de Envigado</t>
  </si>
  <si>
    <t>052663110001</t>
  </si>
  <si>
    <t>Juzlab01</t>
  </si>
  <si>
    <t>Juzgado Primero Laboral de Envigado</t>
  </si>
  <si>
    <t>052663105001</t>
  </si>
  <si>
    <t>Juzlab02</t>
  </si>
  <si>
    <t>Juzgado Segundo  Laboral de Envigado</t>
  </si>
  <si>
    <t>052663105002</t>
  </si>
  <si>
    <t>Juzpeq01</t>
  </si>
  <si>
    <t>Juzgado Primero de Pequeñas Causas y Competencias Multiples de Envigado</t>
  </si>
  <si>
    <t>052664189001</t>
  </si>
  <si>
    <t>Juzgado Segundo de Pequeñas Causas y Competencias Multiples de Envigado</t>
  </si>
  <si>
    <t>052664189002</t>
  </si>
  <si>
    <t>Juzpeq02</t>
  </si>
  <si>
    <t>Juz02pmpal</t>
  </si>
  <si>
    <t>Juz03pmpal</t>
  </si>
  <si>
    <t>Juz04pmpal</t>
  </si>
  <si>
    <t>Juzgado Cuarto Penal Municipal de Conocimiento de Envigado</t>
  </si>
  <si>
    <t>052664088001</t>
  </si>
  <si>
    <t>Juzgado Tercero Penal Municipal de Garantias de Envigado</t>
  </si>
  <si>
    <t xml:space="preserve">PDF: </t>
  </si>
  <si>
    <t>Columna1</t>
  </si>
  <si>
    <t>Columna2</t>
  </si>
  <si>
    <t>Juzgado Primero Civil Muncipal de Envigado</t>
  </si>
  <si>
    <t>Columna3</t>
  </si>
  <si>
    <t>PDF</t>
  </si>
  <si>
    <t>SISTEMA</t>
  </si>
  <si>
    <t>JUZGADO DE COMPETENCIAS MÚLTIPLES 001 ENVIGADO</t>
  </si>
  <si>
    <t>JUZGADO MUNICIPAL - CIVIL 002 ENVIGADO</t>
  </si>
  <si>
    <t>JUZGADO DE CIRCUITO - CIVIL 003 ENVIGADO</t>
  </si>
  <si>
    <t>JUZGADO MUNICIPAL  CIVIL 004 ENVIGADO</t>
  </si>
  <si>
    <t>JUZGADO DE CIRCUITO - CIVIL 001 ENVIGADO</t>
  </si>
  <si>
    <t>JUZGADO DE CIRCUITO - CIVIL 002 ENVIGADO</t>
  </si>
  <si>
    <t>JUZGADO MUNICIPAL  PENAL MIXTO  001 ENVIGADO</t>
  </si>
  <si>
    <t>JUZGADO MUNICIPAL  PENAL MIXTO  002 ENVIGADO</t>
  </si>
  <si>
    <t>JUZGADO MUNICIPAL  PENAL CONTROL DE GARANTIAS 003 ENVIGADO</t>
  </si>
  <si>
    <t>JUZGADO MUNICIPAL PENAL DE CONOCIMIENTO 004 ENVIGADO</t>
  </si>
  <si>
    <t>JUZGADO DE CIRCUITO  PENAL FUNCIÓN DE CONOCIMIENTO 001 ENVIGADO</t>
  </si>
  <si>
    <t>JUZGADO DE CIRCUITO  PENAL FUNCIÓN DE CONOCIMIENTO 002 ENVIGADO</t>
  </si>
  <si>
    <t>JUZGADO DE CIRCUITO  PENAL FUNCIÓN DE CONOCIMIENTO 003 ENVIGADO</t>
  </si>
  <si>
    <t>JUZGADO DE CIRCUITO - FAMILIA 001 ENVIGADO</t>
  </si>
  <si>
    <t>JUZGADO DE CIRCUITO - LABORAL 001 ENVIGADO</t>
  </si>
  <si>
    <t>JUZGADO DE CIRCUITO  LABORAL 002 ENVIGADO</t>
  </si>
  <si>
    <t>JUZGADO MUNICIPAL - CIVIL 001 ENVIGADO</t>
  </si>
  <si>
    <t>JUZGADO DE COMPETENCIAS MÚLTIPLES 002 ENVIGADO</t>
  </si>
  <si>
    <t xml:space="preserve">SISTEMA: </t>
  </si>
  <si>
    <t>PDF: Juzgado Segundo Civil Muncipal de Envigado</t>
  </si>
  <si>
    <t>SISTEMA: JUZGADO MUNICIPAL - CIVIL 002 ENVIGADO</t>
  </si>
  <si>
    <t>PDF: Juzgado Tercero Civil Muncipal de Envigado</t>
  </si>
  <si>
    <t>SISTEMA: JUZGADO DE CIRCUITO - CIVIL 003 ENVIGADO</t>
  </si>
  <si>
    <t>PDF: Juzgado cuarto Civil Muncipal de Envigado</t>
  </si>
  <si>
    <t>SISTEMA: JUZGADO MUNICIPAL  CIVIL 004 ENVIGADO</t>
  </si>
  <si>
    <t xml:space="preserve">PDF: Juzgado Primero Civil Circuito de Envigado </t>
  </si>
  <si>
    <t>SISTEMA: JUZGADO DE CIRCUITO - CIVIL 001 ENVIGADO</t>
  </si>
  <si>
    <t xml:space="preserve">PDF: Juzgado Segundo Civil Circuito de Envigado </t>
  </si>
  <si>
    <t>SISTEMA: JUZGADO DE CIRCUITO - CIVIL 002 ENVIGADO</t>
  </si>
  <si>
    <t xml:space="preserve">PDF: Juzgado Tercero Civil Circuito de Envigado </t>
  </si>
  <si>
    <t>PDF: Juzgado Primero Penal Mixto de Envigado</t>
  </si>
  <si>
    <t>SISTEMA: JUZGADO MUNICIPAL  PENAL MIXTO  001 ENVIGADO</t>
  </si>
  <si>
    <t>PDF: Juzgado Segundo Penal Mixto de Envigado</t>
  </si>
  <si>
    <t>SISTEMA: JUZGADO MUNICIPAL  PENAL MIXTO  002 ENVIGADO</t>
  </si>
  <si>
    <t>PDF: Juzgado Tercero Penal Municipal de Garantias de Envigado</t>
  </si>
  <si>
    <t>SISTEMA: JUZGADO MUNICIPAL  PENAL CONTROL DE GARANTIAS 003 ENVIGADO</t>
  </si>
  <si>
    <t>PDF: Juzgado Cuarto Penal Municipal de Conocimiento de Envigado</t>
  </si>
  <si>
    <t>SISTEMA: JUZGADO MUNICIPAL PENAL DE CONOCIMIENTO 004 ENVIGADO</t>
  </si>
  <si>
    <t>PDF: Juzgado Primero Penal Circuito de Envigado</t>
  </si>
  <si>
    <t>SISTEMA: JUZGADO DE CIRCUITO  PENAL FUNCIÓN DE CONOCIMIENTO 001 ENVIGADO</t>
  </si>
  <si>
    <t>PDF: Juzgado Segundo Penal Circuito de Envigado</t>
  </si>
  <si>
    <t>SISTEMA: JUZGADO DE CIRCUITO  PENAL FUNCIÓN DE CONOCIMIENTO 002 ENVIGADO</t>
  </si>
  <si>
    <t>PDF: Juzgado Tercero Penal Circuito de Envigado</t>
  </si>
  <si>
    <t>SISTEMA: JUZGADO DE CIRCUITO  PENAL FUNCIÓN DE CONOCIMIENTO 003 ENVIGADO</t>
  </si>
  <si>
    <t>PDF: Juzgado Primero de Familia de Envigado</t>
  </si>
  <si>
    <t>SISTEMA: JUZGADO DE CIRCUITO - FAMILIA 001 ENVIGADO</t>
  </si>
  <si>
    <t>PDF: Juzgado Primero Laboral de Envigado</t>
  </si>
  <si>
    <t>SISTEMA: JUZGADO DE CIRCUITO - LABORAL 001 ENVIGADO</t>
  </si>
  <si>
    <t>PDF: Juzgado Segundo  Laboral de Envigado</t>
  </si>
  <si>
    <t>SISTEMA: JUZGADO DE CIRCUITO  LABORAL 002 ENVIGADO</t>
  </si>
  <si>
    <t>PDF: Juzgado Primero de Pequeñas Causas y Competencias Multiples de Envigado</t>
  </si>
  <si>
    <t>SISTEMA: JUZGADO DE COMPETENCIAS MÚLTIPLES 001 ENVIGADO</t>
  </si>
  <si>
    <t>PDF: Juzgado Segundo de Pequeñas Causas y Competencias Multiples de Envigado</t>
  </si>
  <si>
    <t>SISTEMA: JUZGADO DE COMPETENCIAS MÚLTIPLES 002 ENVIGADO</t>
  </si>
  <si>
    <t>PDF: Juzgado Primero Civil Muncipal de Envigado</t>
  </si>
  <si>
    <t>SISTEMA: JUZGADO MUNICIPAL - CIVIL 001 ENVIGADO</t>
  </si>
  <si>
    <t>Juz01cmpl</t>
  </si>
  <si>
    <t>052664003001</t>
  </si>
  <si>
    <t>Juz05cmpl</t>
  </si>
  <si>
    <t>Juzgado Quinto Civil Muncipal de Envigado</t>
  </si>
  <si>
    <t>052664003005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</si>
</sst>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2" xfId="0" applyBorder="1"/>
    <xf numFmtId="49" fontId="0" fillId="0" borderId="3" xfId="0" applyNumberFormat="1" applyBorder="1"/>
    <xf numFmtId="0" fontId="0" fillId="0" borderId="4" xfId="0" applyBorder="1"/>
    <xf numFmtId="0" fontId="0" fillId="0" borderId="5" xfId="0" applyBorder="1"/>
    <xf numFmtId="49" fontId="0" fillId="0" borderId="6" xfId="0" applyNumberFormat="1" applyBorder="1"/>
    <xf numFmtId="0" fontId="0" fillId="0" borderId="7" xfId="0" applyBorder="1"/>
    <xf numFmtId="0" fontId="0" fillId="0" borderId="8" xfId="0" applyBorder="1"/>
    <xf numFmtId="49" fontId="0" fillId="0" borderId="9" xfId="0" applyNumberFormat="1" applyBorder="1"/>
    <xf numFmtId="0" fontId="0" fillId="0" borderId="10" xfId="0" applyBorder="1"/>
    <xf numFmtId="0" fontId="2" fillId="0" borderId="0" xfId="0" applyFont="1"/>
  </cellXfs>
  <cellStyles count="1">
    <cellStyle name="Normal" xfId="0" builtinId="0"/>
  </cellStyles>
  <dxfs count="11"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5B1C1-EB5E-4A96-9343-B4AB4EE607D7}" name="Tabla1" displayName="Tabla1" ref="B2:I22" totalsRowShown="0" headerRowBorderDxfId="10" tableBorderDxfId="9" totalsRowBorderDxfId="8">
  <autoFilter ref="B2:I22" xr:uid="{77B5B1C1-EB5E-4A96-9343-B4AB4EE607D7}"/>
  <tableColumns count="8">
    <tableColumn id="1" xr3:uid="{938DBB95-94B0-4DDC-A0DB-03630E7AE53E}" name="USUARIO" dataDxfId="7"/>
    <tableColumn id="2" xr3:uid="{8DA837A5-7F1C-45D2-95A4-2F870785C76F}" name="NOMBRE JUZGADO" dataDxfId="6"/>
    <tableColumn id="3" xr3:uid="{E83E3135-2765-4361-B1B1-E62AE0240401}" name="CONSECUTIVO RADICADO " dataDxfId="5"/>
    <tableColumn id="4" xr3:uid="{CD83CC48-7CB5-4F4E-A1A9-05546F15864C}" name="Columna1"/>
    <tableColumn id="5" xr3:uid="{642472A2-7D7E-4459-96D2-A57904E93CEC}" name="PDF" dataDxfId="4">
      <calculatedColumnFormula>_xlfn.CONCAT(E3,C3)</calculatedColumnFormula>
    </tableColumn>
    <tableColumn id="8" xr3:uid="{C520DDC1-F047-4BFC-9ED6-1A5D97DF50B8}" name="Columna2"/>
    <tableColumn id="9" xr3:uid="{B9EAB8C3-2793-4753-AB98-A238FFD0D186}" name="Columna3"/>
    <tableColumn id="10" xr3:uid="{8A4B5767-CD1E-4BFD-89D0-5D604E43A05A}" name="SISTEMA" dataDxfId="3">
      <calculatedColumnFormula>_xlfn.CONCAT(Tabla1[[#This Row],[Columna3]],Tabla1[[#This Row],[Columna2]])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E2A66E-2E35-4F6A-ACB2-B2B4E4FECF05}" name="Tabla2" displayName="Tabla2" ref="B2:C21" totalsRowShown="0" dataDxfId="2">
  <autoFilter ref="B2:C21" xr:uid="{69E2A66E-2E35-4F6A-ACB2-B2B4E4FECF05}"/>
  <tableColumns count="2">
    <tableColumn id="1" xr3:uid="{80BF8B67-6F61-4740-A038-AC1B5AABB694}" name="PDF" dataDxfId="1"/>
    <tableColumn id="2" xr3:uid="{F6EB11F2-728C-4B7A-87F7-7C76012573F7}" name="SISTEM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8382-2027-4467-9D91-5C56BD2C8D9A}">
  <dimension ref="B2:I22"/>
  <sheetViews>
    <sheetView tabSelected="1" zoomScale="115" zoomScaleNormal="115" workbookViewId="0">
      <selection activeCell="E30" sqref="E30"/>
    </sheetView>
  </sheetViews>
  <sheetFormatPr baseColWidth="10" defaultRowHeight="15" x14ac:dyDescent="0.25"/>
  <cols>
    <col min="2" max="2" width="11.42578125" bestFit="1" customWidth="1"/>
    <col min="3" max="3" width="70.28515625" bestFit="1" customWidth="1"/>
    <col min="4" max="4" width="27.7109375" style="1" bestFit="1" customWidth="1"/>
    <col min="5" max="5" width="12.42578125" bestFit="1" customWidth="1"/>
    <col min="6" max="6" width="74.85546875" bestFit="1" customWidth="1"/>
    <col min="7" max="7" width="68" hidden="1" customWidth="1"/>
    <col min="8" max="8" width="0" hidden="1" customWidth="1"/>
    <col min="9" max="9" width="76.42578125" bestFit="1" customWidth="1"/>
  </cols>
  <sheetData>
    <row r="2" spans="2:9" x14ac:dyDescent="0.25">
      <c r="B2" s="5" t="s">
        <v>9</v>
      </c>
      <c r="C2" s="6" t="s">
        <v>10</v>
      </c>
      <c r="D2" s="7" t="s">
        <v>11</v>
      </c>
      <c r="E2" s="11" t="s">
        <v>58</v>
      </c>
      <c r="F2" s="11" t="s">
        <v>62</v>
      </c>
      <c r="G2" s="11" t="s">
        <v>59</v>
      </c>
      <c r="H2" s="11" t="s">
        <v>61</v>
      </c>
      <c r="I2" s="11" t="s">
        <v>63</v>
      </c>
    </row>
    <row r="3" spans="2:9" x14ac:dyDescent="0.25">
      <c r="B3" s="3" t="s">
        <v>0</v>
      </c>
      <c r="C3" s="2" t="s">
        <v>1</v>
      </c>
      <c r="D3" s="4" t="s">
        <v>4</v>
      </c>
      <c r="E3" t="s">
        <v>57</v>
      </c>
      <c r="F3" t="str">
        <f t="shared" ref="F3:F21" si="0">_xlfn.CONCAT(E3,C3)</f>
        <v>PDF: Juzgado Segundo Civil Muncipal de Envigado</v>
      </c>
      <c r="G3" t="s">
        <v>65</v>
      </c>
      <c r="H3" t="s">
        <v>82</v>
      </c>
      <c r="I3" t="str">
        <f>_xlfn.CONCAT(Tabla1[[#This Row],[Columna3]],Tabla1[[#This Row],[Columna2]])</f>
        <v>SISTEMA: JUZGADO MUNICIPAL - CIVIL 002 ENVIGADO</v>
      </c>
    </row>
    <row r="4" spans="2:9" x14ac:dyDescent="0.25">
      <c r="B4" s="3" t="s">
        <v>2</v>
      </c>
      <c r="C4" s="2" t="s">
        <v>3</v>
      </c>
      <c r="D4" s="4" t="s">
        <v>5</v>
      </c>
      <c r="E4" t="s">
        <v>57</v>
      </c>
      <c r="F4" t="str">
        <f t="shared" si="0"/>
        <v>PDF: Juzgado Tercero Civil Muncipal de Envigado</v>
      </c>
      <c r="G4" t="s">
        <v>66</v>
      </c>
      <c r="H4" t="s">
        <v>82</v>
      </c>
      <c r="I4" t="str">
        <f>_xlfn.CONCAT(Tabla1[[#This Row],[Columna3]],Tabla1[[#This Row],[Columna2]])</f>
        <v>SISTEMA: JUZGADO DE CIRCUITO - CIVIL 003 ENVIGADO</v>
      </c>
    </row>
    <row r="5" spans="2:9" x14ac:dyDescent="0.25">
      <c r="B5" s="3" t="s">
        <v>6</v>
      </c>
      <c r="C5" s="2" t="s">
        <v>7</v>
      </c>
      <c r="D5" s="4" t="s">
        <v>8</v>
      </c>
      <c r="E5" t="s">
        <v>57</v>
      </c>
      <c r="F5" t="str">
        <f t="shared" si="0"/>
        <v>PDF: Juzgado cuarto Civil Muncipal de Envigado</v>
      </c>
      <c r="G5" t="s">
        <v>67</v>
      </c>
      <c r="H5" t="s">
        <v>82</v>
      </c>
      <c r="I5" t="str">
        <f>_xlfn.CONCAT(Tabla1[[#This Row],[Columna3]],Tabla1[[#This Row],[Columna2]])</f>
        <v>SISTEMA: JUZGADO MUNICIPAL  CIVIL 004 ENVIGADO</v>
      </c>
    </row>
    <row r="6" spans="2:9" x14ac:dyDescent="0.25">
      <c r="B6" s="3" t="s">
        <v>12</v>
      </c>
      <c r="C6" s="2" t="s">
        <v>13</v>
      </c>
      <c r="D6" s="4" t="s">
        <v>14</v>
      </c>
      <c r="E6" t="s">
        <v>57</v>
      </c>
      <c r="F6" t="str">
        <f t="shared" si="0"/>
        <v xml:space="preserve">PDF: Juzgado Primero Civil Circuito de Envigado </v>
      </c>
      <c r="G6" t="s">
        <v>68</v>
      </c>
      <c r="H6" t="s">
        <v>82</v>
      </c>
      <c r="I6" t="str">
        <f>_xlfn.CONCAT(Tabla1[[#This Row],[Columna3]],Tabla1[[#This Row],[Columna2]])</f>
        <v>SISTEMA: JUZGADO DE CIRCUITO - CIVIL 001 ENVIGADO</v>
      </c>
    </row>
    <row r="7" spans="2:9" x14ac:dyDescent="0.25">
      <c r="B7" s="3" t="s">
        <v>15</v>
      </c>
      <c r="C7" s="2" t="s">
        <v>17</v>
      </c>
      <c r="D7" s="4" t="s">
        <v>22</v>
      </c>
      <c r="E7" t="s">
        <v>57</v>
      </c>
      <c r="F7" t="str">
        <f t="shared" si="0"/>
        <v xml:space="preserve">PDF: Juzgado Segundo Civil Circuito de Envigado </v>
      </c>
      <c r="G7" t="s">
        <v>69</v>
      </c>
      <c r="H7" t="s">
        <v>82</v>
      </c>
      <c r="I7" t="str">
        <f>_xlfn.CONCAT(Tabla1[[#This Row],[Columna3]],Tabla1[[#This Row],[Columna2]])</f>
        <v>SISTEMA: JUZGADO DE CIRCUITO - CIVIL 002 ENVIGADO</v>
      </c>
    </row>
    <row r="8" spans="2:9" x14ac:dyDescent="0.25">
      <c r="B8" s="3" t="s">
        <v>16</v>
      </c>
      <c r="C8" s="2" t="s">
        <v>18</v>
      </c>
      <c r="D8" s="4" t="s">
        <v>23</v>
      </c>
      <c r="E8" t="s">
        <v>57</v>
      </c>
      <c r="F8" t="str">
        <f t="shared" si="0"/>
        <v xml:space="preserve">PDF: Juzgado Tercero Civil Circuito de Envigado </v>
      </c>
      <c r="G8" t="s">
        <v>66</v>
      </c>
      <c r="H8" t="s">
        <v>82</v>
      </c>
      <c r="I8" t="str">
        <f>_xlfn.CONCAT(Tabla1[[#This Row],[Columna3]],Tabla1[[#This Row],[Columna2]])</f>
        <v>SISTEMA: JUZGADO DE CIRCUITO - CIVIL 003 ENVIGADO</v>
      </c>
    </row>
    <row r="9" spans="2:9" x14ac:dyDescent="0.25">
      <c r="B9" s="3" t="s">
        <v>19</v>
      </c>
      <c r="C9" s="2" t="s">
        <v>20</v>
      </c>
      <c r="D9" s="4" t="s">
        <v>21</v>
      </c>
      <c r="E9" t="s">
        <v>57</v>
      </c>
      <c r="F9" t="str">
        <f t="shared" si="0"/>
        <v>PDF: Juzgado Primero Penal Mixto de Envigado</v>
      </c>
      <c r="G9" t="s">
        <v>70</v>
      </c>
      <c r="H9" t="s">
        <v>82</v>
      </c>
      <c r="I9" t="str">
        <f>_xlfn.CONCAT(Tabla1[[#This Row],[Columna3]],Tabla1[[#This Row],[Columna2]])</f>
        <v>SISTEMA: JUZGADO MUNICIPAL  PENAL MIXTO  001 ENVIGADO</v>
      </c>
    </row>
    <row r="10" spans="2:9" x14ac:dyDescent="0.25">
      <c r="B10" s="3" t="s">
        <v>51</v>
      </c>
      <c r="C10" s="2" t="s">
        <v>24</v>
      </c>
      <c r="D10" s="4" t="s">
        <v>25</v>
      </c>
      <c r="E10" t="s">
        <v>57</v>
      </c>
      <c r="F10" t="str">
        <f t="shared" si="0"/>
        <v>PDF: Juzgado Segundo Penal Mixto de Envigado</v>
      </c>
      <c r="G10" t="s">
        <v>71</v>
      </c>
      <c r="H10" t="s">
        <v>82</v>
      </c>
      <c r="I10" t="str">
        <f>_xlfn.CONCAT(Tabla1[[#This Row],[Columna3]],Tabla1[[#This Row],[Columna2]])</f>
        <v>SISTEMA: JUZGADO MUNICIPAL  PENAL MIXTO  002 ENVIGADO</v>
      </c>
    </row>
    <row r="11" spans="2:9" x14ac:dyDescent="0.25">
      <c r="B11" s="3" t="s">
        <v>52</v>
      </c>
      <c r="C11" s="2" t="s">
        <v>56</v>
      </c>
      <c r="D11" s="4" t="s">
        <v>55</v>
      </c>
      <c r="E11" t="s">
        <v>57</v>
      </c>
      <c r="F11" t="str">
        <f t="shared" si="0"/>
        <v>PDF: Juzgado Tercero Penal Municipal de Garantias de Envigado</v>
      </c>
      <c r="G11" t="s">
        <v>72</v>
      </c>
      <c r="H11" t="s">
        <v>82</v>
      </c>
      <c r="I11" t="str">
        <f>_xlfn.CONCAT(Tabla1[[#This Row],[Columna3]],Tabla1[[#This Row],[Columna2]])</f>
        <v>SISTEMA: JUZGADO MUNICIPAL  PENAL CONTROL DE GARANTIAS 003 ENVIGADO</v>
      </c>
    </row>
    <row r="12" spans="2:9" x14ac:dyDescent="0.25">
      <c r="B12" s="3" t="s">
        <v>53</v>
      </c>
      <c r="C12" s="2" t="s">
        <v>54</v>
      </c>
      <c r="D12" s="4" t="s">
        <v>26</v>
      </c>
      <c r="E12" t="s">
        <v>57</v>
      </c>
      <c r="F12" t="str">
        <f t="shared" si="0"/>
        <v>PDF: Juzgado Cuarto Penal Municipal de Conocimiento de Envigado</v>
      </c>
      <c r="G12" t="s">
        <v>73</v>
      </c>
      <c r="H12" t="s">
        <v>82</v>
      </c>
      <c r="I12" t="str">
        <f>_xlfn.CONCAT(Tabla1[[#This Row],[Columna3]],Tabla1[[#This Row],[Columna2]])</f>
        <v>SISTEMA: JUZGADO MUNICIPAL PENAL DE CONOCIMIENTO 004 ENVIGADO</v>
      </c>
    </row>
    <row r="13" spans="2:9" x14ac:dyDescent="0.25">
      <c r="B13" s="3" t="s">
        <v>27</v>
      </c>
      <c r="C13" s="2" t="s">
        <v>28</v>
      </c>
      <c r="D13" s="4" t="s">
        <v>29</v>
      </c>
      <c r="E13" t="s">
        <v>57</v>
      </c>
      <c r="F13" t="str">
        <f t="shared" si="0"/>
        <v>PDF: Juzgado Primero Penal Circuito de Envigado</v>
      </c>
      <c r="G13" t="s">
        <v>74</v>
      </c>
      <c r="H13" t="s">
        <v>82</v>
      </c>
      <c r="I13" t="str">
        <f>_xlfn.CONCAT(Tabla1[[#This Row],[Columna3]],Tabla1[[#This Row],[Columna2]])</f>
        <v>SISTEMA: JUZGADO DE CIRCUITO  PENAL FUNCIÓN DE CONOCIMIENTO 001 ENVIGADO</v>
      </c>
    </row>
    <row r="14" spans="2:9" x14ac:dyDescent="0.25">
      <c r="B14" s="3" t="s">
        <v>30</v>
      </c>
      <c r="C14" s="2" t="s">
        <v>32</v>
      </c>
      <c r="D14" s="4" t="s">
        <v>34</v>
      </c>
      <c r="E14" t="s">
        <v>57</v>
      </c>
      <c r="F14" t="str">
        <f t="shared" si="0"/>
        <v>PDF: Juzgado Segundo Penal Circuito de Envigado</v>
      </c>
      <c r="G14" t="s">
        <v>75</v>
      </c>
      <c r="H14" t="s">
        <v>82</v>
      </c>
      <c r="I14" t="str">
        <f>_xlfn.CONCAT(Tabla1[[#This Row],[Columna3]],Tabla1[[#This Row],[Columna2]])</f>
        <v>SISTEMA: JUZGADO DE CIRCUITO  PENAL FUNCIÓN DE CONOCIMIENTO 002 ENVIGADO</v>
      </c>
    </row>
    <row r="15" spans="2:9" x14ac:dyDescent="0.25">
      <c r="B15" s="3" t="s">
        <v>31</v>
      </c>
      <c r="C15" s="2" t="s">
        <v>33</v>
      </c>
      <c r="D15" s="4" t="s">
        <v>35</v>
      </c>
      <c r="E15" t="s">
        <v>57</v>
      </c>
      <c r="F15" t="str">
        <f t="shared" si="0"/>
        <v>PDF: Juzgado Tercero Penal Circuito de Envigado</v>
      </c>
      <c r="G15" t="s">
        <v>76</v>
      </c>
      <c r="H15" t="s">
        <v>82</v>
      </c>
      <c r="I15" t="str">
        <f>_xlfn.CONCAT(Tabla1[[#This Row],[Columna3]],Tabla1[[#This Row],[Columna2]])</f>
        <v>SISTEMA: JUZGADO DE CIRCUITO  PENAL FUNCIÓN DE CONOCIMIENTO 003 ENVIGADO</v>
      </c>
    </row>
    <row r="16" spans="2:9" x14ac:dyDescent="0.25">
      <c r="B16" s="3" t="s">
        <v>36</v>
      </c>
      <c r="C16" s="2" t="s">
        <v>37</v>
      </c>
      <c r="D16" s="4" t="s">
        <v>38</v>
      </c>
      <c r="E16" t="s">
        <v>57</v>
      </c>
      <c r="F16" t="str">
        <f t="shared" si="0"/>
        <v>PDF: Juzgado Primero de Familia de Envigado</v>
      </c>
      <c r="G16" t="s">
        <v>77</v>
      </c>
      <c r="H16" t="s">
        <v>82</v>
      </c>
      <c r="I16" t="str">
        <f>_xlfn.CONCAT(Tabla1[[#This Row],[Columna3]],Tabla1[[#This Row],[Columna2]])</f>
        <v>SISTEMA: JUZGADO DE CIRCUITO - FAMILIA 001 ENVIGADO</v>
      </c>
    </row>
    <row r="17" spans="2:9" x14ac:dyDescent="0.25">
      <c r="B17" s="3" t="s">
        <v>39</v>
      </c>
      <c r="C17" s="2" t="s">
        <v>40</v>
      </c>
      <c r="D17" s="4" t="s">
        <v>41</v>
      </c>
      <c r="E17" t="s">
        <v>57</v>
      </c>
      <c r="F17" t="str">
        <f t="shared" si="0"/>
        <v>PDF: Juzgado Primero Laboral de Envigado</v>
      </c>
      <c r="G17" t="s">
        <v>78</v>
      </c>
      <c r="H17" t="s">
        <v>82</v>
      </c>
      <c r="I17" t="str">
        <f>_xlfn.CONCAT(Tabla1[[#This Row],[Columna3]],Tabla1[[#This Row],[Columna2]])</f>
        <v>SISTEMA: JUZGADO DE CIRCUITO - LABORAL 001 ENVIGADO</v>
      </c>
    </row>
    <row r="18" spans="2:9" x14ac:dyDescent="0.25">
      <c r="B18" s="3" t="s">
        <v>42</v>
      </c>
      <c r="C18" s="2" t="s">
        <v>43</v>
      </c>
      <c r="D18" s="4" t="s">
        <v>44</v>
      </c>
      <c r="E18" t="s">
        <v>57</v>
      </c>
      <c r="F18" t="str">
        <f t="shared" si="0"/>
        <v>PDF: Juzgado Segundo  Laboral de Envigado</v>
      </c>
      <c r="G18" t="s">
        <v>79</v>
      </c>
      <c r="H18" t="s">
        <v>82</v>
      </c>
      <c r="I18" t="str">
        <f>_xlfn.CONCAT(Tabla1[[#This Row],[Columna3]],Tabla1[[#This Row],[Columna2]])</f>
        <v>SISTEMA: JUZGADO DE CIRCUITO  LABORAL 002 ENVIGADO</v>
      </c>
    </row>
    <row r="19" spans="2:9" x14ac:dyDescent="0.25">
      <c r="B19" s="3" t="s">
        <v>45</v>
      </c>
      <c r="C19" s="2" t="s">
        <v>46</v>
      </c>
      <c r="D19" s="4" t="s">
        <v>47</v>
      </c>
      <c r="E19" t="s">
        <v>57</v>
      </c>
      <c r="F19" t="str">
        <f t="shared" si="0"/>
        <v>PDF: Juzgado Primero de Pequeñas Causas y Competencias Multiples de Envigado</v>
      </c>
      <c r="G19" t="s">
        <v>64</v>
      </c>
      <c r="H19" t="s">
        <v>82</v>
      </c>
      <c r="I19" t="str">
        <f>_xlfn.CONCAT(Tabla1[[#This Row],[Columna3]],Tabla1[[#This Row],[Columna2]])</f>
        <v>SISTEMA: JUZGADO DE COMPETENCIAS MÚLTIPLES 001 ENVIGADO</v>
      </c>
    </row>
    <row r="20" spans="2:9" x14ac:dyDescent="0.25">
      <c r="B20" s="8" t="s">
        <v>50</v>
      </c>
      <c r="C20" s="9" t="s">
        <v>48</v>
      </c>
      <c r="D20" s="10" t="s">
        <v>49</v>
      </c>
      <c r="E20" t="s">
        <v>57</v>
      </c>
      <c r="F20" t="str">
        <f t="shared" si="0"/>
        <v>PDF: Juzgado Segundo de Pequeñas Causas y Competencias Multiples de Envigado</v>
      </c>
      <c r="G20" t="s">
        <v>81</v>
      </c>
      <c r="H20" t="s">
        <v>82</v>
      </c>
      <c r="I20" t="str">
        <f>_xlfn.CONCAT(Tabla1[[#This Row],[Columna3]],Tabla1[[#This Row],[Columna2]])</f>
        <v>SISTEMA: JUZGADO DE COMPETENCIAS MÚLTIPLES 002 ENVIGADO</v>
      </c>
    </row>
    <row r="21" spans="2:9" x14ac:dyDescent="0.25">
      <c r="B21" s="8" t="s">
        <v>120</v>
      </c>
      <c r="C21" s="9" t="s">
        <v>60</v>
      </c>
      <c r="D21" s="10" t="s">
        <v>121</v>
      </c>
      <c r="E21" t="s">
        <v>57</v>
      </c>
      <c r="F21" t="str">
        <f t="shared" si="0"/>
        <v>PDF: Juzgado Primero Civil Muncipal de Envigado</v>
      </c>
      <c r="G21" t="s">
        <v>80</v>
      </c>
      <c r="H21" t="s">
        <v>82</v>
      </c>
      <c r="I21" t="str">
        <f>_xlfn.CONCAT(Tabla1[[#This Row],[Columna3]],Tabla1[[#This Row],[Columna2]])</f>
        <v>SISTEMA: JUZGADO MUNICIPAL - CIVIL 001 ENVIGADO</v>
      </c>
    </row>
    <row r="22" spans="2:9" x14ac:dyDescent="0.25">
      <c r="B22" s="8" t="s">
        <v>122</v>
      </c>
      <c r="C22" s="9" t="s">
        <v>123</v>
      </c>
      <c r="D22" s="10" t="s">
        <v>124</v>
      </c>
      <c r="E22" t="s">
        <v>57</v>
      </c>
      <c r="F22" t="str">
        <f>_xlfn.CONCAT(E22,C22)</f>
        <v>PDF: Juzgado Quinto Civil Muncipal de Envigado</v>
      </c>
    </row>
  </sheetData>
  <phoneticPr fontId="1" type="noConversion"/>
  <pageMargins left="0.7" right="0.7" top="0.75" bottom="0.75" header="0.3" footer="0.3"/>
  <pageSetup paperSize="5" orientation="landscape" horizontalDpi="429496729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CF30-905F-459E-9DC2-8072C997B76F}">
  <sheetPr>
    <pageSetUpPr fitToPage="1"/>
  </sheetPr>
  <dimension ref="B2:C21"/>
  <sheetViews>
    <sheetView zoomScaleNormal="100" workbookViewId="0">
      <selection activeCell="B21" sqref="B21"/>
    </sheetView>
  </sheetViews>
  <sheetFormatPr baseColWidth="10" defaultRowHeight="15" x14ac:dyDescent="0.25"/>
  <cols>
    <col min="2" max="2" width="56" customWidth="1"/>
    <col min="3" max="3" width="59.5703125" customWidth="1"/>
  </cols>
  <sheetData>
    <row r="2" spans="2:3" x14ac:dyDescent="0.25">
      <c r="B2" t="s">
        <v>62</v>
      </c>
      <c r="C2" t="s">
        <v>63</v>
      </c>
    </row>
    <row r="3" spans="2:3" x14ac:dyDescent="0.25">
      <c r="B3" s="12" t="s">
        <v>83</v>
      </c>
      <c r="C3" s="12" t="s">
        <v>84</v>
      </c>
    </row>
    <row r="4" spans="2:3" x14ac:dyDescent="0.25">
      <c r="B4" s="12" t="s">
        <v>85</v>
      </c>
      <c r="C4" s="12" t="s">
        <v>86</v>
      </c>
    </row>
    <row r="5" spans="2:3" x14ac:dyDescent="0.25">
      <c r="B5" s="12" t="s">
        <v>87</v>
      </c>
      <c r="C5" s="12" t="s">
        <v>88</v>
      </c>
    </row>
    <row r="6" spans="2:3" x14ac:dyDescent="0.25">
      <c r="B6" s="12" t="s">
        <v>89</v>
      </c>
      <c r="C6" s="12" t="s">
        <v>90</v>
      </c>
    </row>
    <row r="7" spans="2:3" x14ac:dyDescent="0.25">
      <c r="B7" s="12" t="s">
        <v>91</v>
      </c>
      <c r="C7" s="12" t="s">
        <v>92</v>
      </c>
    </row>
    <row r="8" spans="2:3" x14ac:dyDescent="0.25">
      <c r="B8" s="12" t="s">
        <v>93</v>
      </c>
      <c r="C8" s="12" t="s">
        <v>86</v>
      </c>
    </row>
    <row r="9" spans="2:3" x14ac:dyDescent="0.25">
      <c r="B9" s="12" t="s">
        <v>94</v>
      </c>
      <c r="C9" s="12" t="s">
        <v>95</v>
      </c>
    </row>
    <row r="10" spans="2:3" x14ac:dyDescent="0.25">
      <c r="B10" s="12" t="s">
        <v>96</v>
      </c>
      <c r="C10" s="12" t="s">
        <v>97</v>
      </c>
    </row>
    <row r="11" spans="2:3" x14ac:dyDescent="0.25">
      <c r="B11" s="12" t="s">
        <v>98</v>
      </c>
      <c r="C11" s="12" t="s">
        <v>99</v>
      </c>
    </row>
    <row r="12" spans="2:3" x14ac:dyDescent="0.25">
      <c r="B12" s="12" t="s">
        <v>100</v>
      </c>
      <c r="C12" s="12" t="s">
        <v>101</v>
      </c>
    </row>
    <row r="13" spans="2:3" x14ac:dyDescent="0.25">
      <c r="B13" s="12" t="s">
        <v>102</v>
      </c>
      <c r="C13" s="12" t="s">
        <v>103</v>
      </c>
    </row>
    <row r="14" spans="2:3" x14ac:dyDescent="0.25">
      <c r="B14" s="12" t="s">
        <v>104</v>
      </c>
      <c r="C14" s="12" t="s">
        <v>105</v>
      </c>
    </row>
    <row r="15" spans="2:3" x14ac:dyDescent="0.25">
      <c r="B15" s="12" t="s">
        <v>106</v>
      </c>
      <c r="C15" s="12" t="s">
        <v>107</v>
      </c>
    </row>
    <row r="16" spans="2:3" x14ac:dyDescent="0.25">
      <c r="B16" s="12" t="s">
        <v>108</v>
      </c>
      <c r="C16" s="12" t="s">
        <v>109</v>
      </c>
    </row>
    <row r="17" spans="2:3" x14ac:dyDescent="0.25">
      <c r="B17" s="12" t="s">
        <v>110</v>
      </c>
      <c r="C17" s="12" t="s">
        <v>111</v>
      </c>
    </row>
    <row r="18" spans="2:3" x14ac:dyDescent="0.25">
      <c r="B18" s="12" t="s">
        <v>112</v>
      </c>
      <c r="C18" s="12" t="s">
        <v>113</v>
      </c>
    </row>
    <row r="19" spans="2:3" x14ac:dyDescent="0.25">
      <c r="B19" s="12" t="s">
        <v>114</v>
      </c>
      <c r="C19" s="12" t="s">
        <v>115</v>
      </c>
    </row>
    <row r="20" spans="2:3" x14ac:dyDescent="0.25">
      <c r="B20" s="12" t="s">
        <v>116</v>
      </c>
      <c r="C20" s="12" t="s">
        <v>117</v>
      </c>
    </row>
    <row r="21" spans="2:3" x14ac:dyDescent="0.25">
      <c r="B21" s="12" t="s">
        <v>118</v>
      </c>
      <c r="C21" s="12" t="s">
        <v>119</v>
      </c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5" fitToWidth="0" orientation="landscape" horizontalDpi="4294967292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 Juzgados</vt:lpstr>
      <vt:lpstr>Hoja1</vt:lpstr>
    </vt:vector>
  </TitlesOfParts>
  <Company>Consejo Superior de la Judicatura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Jaiber Stiben Holguin David</dc:creator>
  <cp:lastModifiedBy>Jaiber Stiben Holguin David</cp:lastModifiedBy>
  <cp:lastPrinted>2026-02-07T17:42:25Z</cp:lastPrinted>
  <dcterms:created xsi:type="dcterms:W3CDTF">2026-02-07T02:24:18Z</dcterms:created>
  <dcterms:modified xsi:type="dcterms:W3CDTF">2026-02-08T19:02:31Z</dcterms:modified>
</cp:coreProperties>
</file>